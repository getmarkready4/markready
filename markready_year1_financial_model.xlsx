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ssumptions" sheetId="1" state="visible" r:id="rId3"/>
    <sheet name="Year 1 Monthly Model" sheetId="2" state="visible" r:id="rId4"/>
    <sheet name="Summary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<sst xmlns="http://schemas.openxmlformats.org/spreadsheetml/2006/main" count="85" uniqueCount="84">
  <si>
    <t xml:space="preserve">MarkReady — Year 1 Financial Model: Conservative Assumptions</t>
  </si>
  <si>
    <t xml:space="preserve">All figures USD. HK compliance costs converted from HKD at 7.8 peg. Blue cells = editable inputs.</t>
  </si>
  <si>
    <t xml:space="preserve">Assumption</t>
  </si>
  <si>
    <t xml:space="preserve">Value</t>
  </si>
  <si>
    <t xml:space="preserve">Basis / note</t>
  </si>
  <si>
    <t xml:space="preserve">Free → paid conversion rate</t>
  </si>
  <si>
    <t xml:space="preserve">Low end of freemium 2-5% range</t>
  </si>
  <si>
    <t xml:space="preserve">Monthly churn (paying users)</t>
  </si>
  <si>
    <t xml:space="preserve">High - exam products churn on test completion</t>
  </si>
  <si>
    <t xml:space="preserve">Blended ARPU (USD/mo)</t>
  </si>
  <si>
    <t xml:space="preserve">Philippines-first; regional pricing dominates</t>
  </si>
  <si>
    <t xml:space="preserve">Essays scored per new free signup</t>
  </si>
  <si>
    <t xml:space="preserve">Most free users try it once or twice</t>
  </si>
  <si>
    <t xml:space="preserve">Essays scored per paying user / mo</t>
  </si>
  <si>
    <t xml:space="preserve">Active paying users practising regularly</t>
  </si>
  <si>
    <t xml:space="preserve">API / scoring cost per essay (USD)</t>
  </si>
  <si>
    <t xml:space="preserve">Per your noted ~2 cents/call</t>
  </si>
  <si>
    <t xml:space="preserve">Payment processing fee (% of revenue)</t>
  </si>
  <si>
    <t xml:space="preserve">~3%+fixed, higher for intl cards - rounded up</t>
  </si>
  <si>
    <t xml:space="preserve">MarkReady — Year 1 Monthly P&amp;L (Conservative Base Case)</t>
  </si>
  <si>
    <t xml:space="preserve">Line item (USD)</t>
  </si>
  <si>
    <t xml:space="preserve">M1</t>
  </si>
  <si>
    <t xml:space="preserve">M2</t>
  </si>
  <si>
    <t xml:space="preserve">M3</t>
  </si>
  <si>
    <t xml:space="preserve">M4</t>
  </si>
  <si>
    <t xml:space="preserve">M5</t>
  </si>
  <si>
    <t xml:space="preserve">M6</t>
  </si>
  <si>
    <t xml:space="preserve">M7</t>
  </si>
  <si>
    <t xml:space="preserve">M8</t>
  </si>
  <si>
    <t xml:space="preserve">M9</t>
  </si>
  <si>
    <t xml:space="preserve">M10</t>
  </si>
  <si>
    <t xml:space="preserve">M11</t>
  </si>
  <si>
    <t xml:space="preserve">M12</t>
  </si>
  <si>
    <t xml:space="preserve">Year 1 Total</t>
  </si>
  <si>
    <t xml:space="preserve">USERS &amp; REVENUE</t>
  </si>
  <si>
    <t xml:space="preserve">New free signups</t>
  </si>
  <si>
    <t xml:space="preserve">Cumulative free users</t>
  </si>
  <si>
    <t xml:space="preserve">New paid conversions</t>
  </si>
  <si>
    <t xml:space="preserve">Paying users (end of month)</t>
  </si>
  <si>
    <t xml:space="preserve">MRR (paying x ARPU)</t>
  </si>
  <si>
    <t xml:space="preserve">Revenue (recognized this month)</t>
  </si>
  <si>
    <t xml:space="preserve">VARIABLE COSTS</t>
  </si>
  <si>
    <t xml:space="preserve">API / scoring cost</t>
  </si>
  <si>
    <t xml:space="preserve">Payment processing fees</t>
  </si>
  <si>
    <t xml:space="preserve">RECURRING FIXED COSTS</t>
  </si>
  <si>
    <t xml:space="preserve">Hosting &amp; infrastructure</t>
  </si>
  <si>
    <t xml:space="preserve">AI coding tools (Claude Code etc.)</t>
  </si>
  <si>
    <t xml:space="preserve">Marketing (content, creators, tools)</t>
  </si>
  <si>
    <t xml:space="preserve">HK compliance (recurring, amortized)</t>
  </si>
  <si>
    <t xml:space="preserve">ONE-OFF COSTS (Year 1)</t>
  </si>
  <si>
    <t xml:space="preserve">HK incorporation (setup, bundled)</t>
  </si>
  <si>
    <t xml:space="preserve">Freelance dev — V1 accounts/billing</t>
  </si>
  <si>
    <t xml:space="preserve">Legal — ToS / privacy</t>
  </si>
  <si>
    <t xml:space="preserve">Brand / logo</t>
  </si>
  <si>
    <t xml:space="preserve">Domain &amp; initial setup</t>
  </si>
  <si>
    <t xml:space="preserve">TOTALS</t>
  </si>
  <si>
    <t xml:space="preserve">Total costs</t>
  </si>
  <si>
    <t xml:space="preserve">Net profit / (loss)</t>
  </si>
  <si>
    <t xml:space="preserve">Operating profit excl. one-off</t>
  </si>
  <si>
    <t xml:space="preserve">Cumulative cash position</t>
  </si>
  <si>
    <t xml:space="preserve">MarkReady — Year 1 Summary (Conservative Base Case)</t>
  </si>
  <si>
    <t xml:space="preserve">Metric</t>
  </si>
  <si>
    <t xml:space="preserve">Year 1 value</t>
  </si>
  <si>
    <t xml:space="preserve">Note</t>
  </si>
  <si>
    <t xml:space="preserve">Total revenue</t>
  </si>
  <si>
    <t xml:space="preserve">Sum of monthly MRR</t>
  </si>
  <si>
    <t xml:space="preserve">One-off + recurring + variable</t>
  </si>
  <si>
    <t xml:space="preserve">Net result (Year 1)</t>
  </si>
  <si>
    <t xml:space="preserve">Expect a loss in Year 1</t>
  </si>
  <si>
    <t xml:space="preserve">Ending paying users (M12)</t>
  </si>
  <si>
    <t xml:space="preserve">After 15% monthly churn</t>
  </si>
  <si>
    <t xml:space="preserve">Ending MRR (M12)</t>
  </si>
  <si>
    <t xml:space="preserve">Run-rate exiting Year 1</t>
  </si>
  <si>
    <t xml:space="preserve">Ending cumulative cash</t>
  </si>
  <si>
    <t xml:space="preserve">Total out-of-pocket funded</t>
  </si>
  <si>
    <t xml:space="preserve">Cumulative free users (M12)</t>
  </si>
  <si>
    <t xml:space="preserve">Top of funnel</t>
  </si>
  <si>
    <t xml:space="preserve">How to read this model</t>
  </si>
  <si>
    <t xml:space="preserve">- This is a deliberately conservative BASE case. Treat it as a floor, not a forecast.</t>
  </si>
  <si>
    <t xml:space="preserve">- B2B prep-centre revenue is set to ZERO here - it is upside, not assumed.</t>
  </si>
  <si>
    <t xml:space="preserve">- Year 1 ends with an operational monthly profit but a cumulative loss, because one-off build + setup costs are front-loaded.</t>
  </si>
  <si>
    <t xml:space="preserve">- To model a BULL case: raise conversion to 4%, ARPU to $16, churn to 12%, and roughly double free signups.</t>
  </si>
  <si>
    <t xml:space="preserve">- To model a BEAR case: drop conversion to 1.5%, raise churn to 18%, halve free signups.</t>
  </si>
  <si>
    <t xml:space="preserve">- All inputs are the yellow/blue cells on the Assumptions tab and the signup/cost rows in the model.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</si>
</sst>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0.0%"/>
    <numFmt numFmtId="166" formatCode="\$#,##0"/>
    <numFmt numFmtId="167" formatCode="0"/>
    <numFmt numFmtId="168" formatCode="\$#,##0.00"/>
    <numFmt numFmtId="169" formatCode="#,##0"/>
    <numFmt numFmtId="170" formatCode="\$#,##0;&quot;($&quot;#,##0\)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name val="Arial"/>
      <family val="0"/>
      <charset val="1"/>
    </font>
    <font>
      <i val="true"/>
      <sz val="9"/>
      <color rgb="FF80808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color rgb="FF000000"/>
      <name val="Arial"/>
      <family val="0"/>
      <charset val="1"/>
    </font>
    <font>
      <sz val="11"/>
      <color rgb="FF0000FF"/>
      <name val="Arial"/>
      <family val="0"/>
      <charset val="1"/>
    </font>
    <font>
      <b val="true"/>
      <sz val="11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FFF2CC"/>
        <bgColor rgb="FFFCE4D6"/>
      </patternFill>
    </fill>
    <fill>
      <patternFill patternType="solid">
        <fgColor rgb="FFD9E1F2"/>
        <bgColor rgb="FFFCE4D6"/>
      </patternFill>
    </fill>
    <fill>
      <patternFill patternType="solid">
        <fgColor rgb="FFFCE4D6"/>
        <bgColor rgb="FFFFF2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5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0" fillId="5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CE4D6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6"/>
    <col collapsed="false" customWidth="true" hidden="false" outlineLevel="0" max="2" min="2" style="0" width="12"/>
    <col collapsed="false" customWidth="true" hidden="false" outlineLevel="0" max="3" min="3" style="0" width="52"/>
  </cols>
  <sheetData>
    <row r="1" customFormat="false" ht="16.15" hidden="false" customHeight="false" outlineLevel="0" collapsed="false">
      <c r="A1" s="1" t="s">
        <v>0</v>
      </c>
      <c r="B1" s="1"/>
      <c r="C1" s="1"/>
    </row>
    <row r="2" customFormat="false" ht="15" hidden="false" customHeight="false" outlineLevel="0" collapsed="false">
      <c r="A2" s="2" t="s">
        <v>1</v>
      </c>
      <c r="B2" s="2"/>
      <c r="C2" s="2"/>
    </row>
    <row r="4" customFormat="false" ht="15" hidden="false" customHeight="false" outlineLevel="0" collapsed="false">
      <c r="A4" s="3" t="s">
        <v>2</v>
      </c>
      <c r="B4" s="3" t="s">
        <v>3</v>
      </c>
      <c r="C4" s="3" t="s">
        <v>4</v>
      </c>
    </row>
    <row r="5" customFormat="false" ht="15" hidden="false" customHeight="false" outlineLevel="0" collapsed="false">
      <c r="A5" s="4" t="s">
        <v>5</v>
      </c>
      <c r="B5" s="5" t="n">
        <v>0.025</v>
      </c>
      <c r="C5" s="6" t="s">
        <v>6</v>
      </c>
    </row>
    <row r="6" customFormat="false" ht="15" hidden="false" customHeight="false" outlineLevel="0" collapsed="false">
      <c r="A6" s="4" t="s">
        <v>7</v>
      </c>
      <c r="B6" s="5" t="n">
        <v>0.15</v>
      </c>
      <c r="C6" s="6" t="s">
        <v>8</v>
      </c>
    </row>
    <row r="7" customFormat="false" ht="15" hidden="false" customHeight="false" outlineLevel="0" collapsed="false">
      <c r="A7" s="4" t="s">
        <v>9</v>
      </c>
      <c r="B7" s="7" t="n">
        <v>12</v>
      </c>
      <c r="C7" s="6" t="s">
        <v>10</v>
      </c>
    </row>
    <row r="8" customFormat="false" ht="15" hidden="false" customHeight="false" outlineLevel="0" collapsed="false">
      <c r="A8" s="4" t="s">
        <v>11</v>
      </c>
      <c r="B8" s="8" t="n">
        <v>2</v>
      </c>
      <c r="C8" s="6" t="s">
        <v>12</v>
      </c>
    </row>
    <row r="9" customFormat="false" ht="15" hidden="false" customHeight="false" outlineLevel="0" collapsed="false">
      <c r="A9" s="4" t="s">
        <v>13</v>
      </c>
      <c r="B9" s="8" t="n">
        <v>8</v>
      </c>
      <c r="C9" s="6" t="s">
        <v>14</v>
      </c>
    </row>
    <row r="10" customFormat="false" ht="15" hidden="false" customHeight="false" outlineLevel="0" collapsed="false">
      <c r="A10" s="4" t="s">
        <v>15</v>
      </c>
      <c r="B10" s="9" t="n">
        <v>0.02</v>
      </c>
      <c r="C10" s="6" t="s">
        <v>16</v>
      </c>
    </row>
    <row r="11" customFormat="false" ht="15" hidden="false" customHeight="false" outlineLevel="0" collapsed="false">
      <c r="A11" s="4" t="s">
        <v>17</v>
      </c>
      <c r="B11" s="5" t="n">
        <v>0.05</v>
      </c>
      <c r="C11" s="6" t="s">
        <v>18</v>
      </c>
    </row>
  </sheetData>
  <mergeCells count="2">
    <mergeCell ref="A1:C1"/>
    <mergeCell ref="A2:C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13" min="2" style="0" width="9"/>
    <col collapsed="false" customWidth="true" hidden="false" outlineLevel="0" max="14" min="14" style="0" width="12"/>
  </cols>
  <sheetData>
    <row r="1" customFormat="false" ht="16.15" hidden="false" customHeight="false" outlineLevel="0" collapsed="false">
      <c r="A1" s="1" t="s">
        <v>19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3" customFormat="false" ht="26.85" hidden="false" customHeight="false" outlineLevel="0" collapsed="false">
      <c r="A3" s="3" t="s">
        <v>20</v>
      </c>
      <c r="B3" s="3" t="s">
        <v>21</v>
      </c>
      <c r="C3" s="3" t="s">
        <v>22</v>
      </c>
      <c r="D3" s="3" t="s">
        <v>23</v>
      </c>
      <c r="E3" s="3" t="s">
        <v>24</v>
      </c>
      <c r="F3" s="3" t="s">
        <v>25</v>
      </c>
      <c r="G3" s="3" t="s">
        <v>26</v>
      </c>
      <c r="H3" s="3" t="s">
        <v>27</v>
      </c>
      <c r="I3" s="3" t="s">
        <v>28</v>
      </c>
      <c r="J3" s="3" t="s">
        <v>29</v>
      </c>
      <c r="K3" s="3" t="s">
        <v>30</v>
      </c>
      <c r="L3" s="3" t="s">
        <v>31</v>
      </c>
      <c r="M3" s="3" t="s">
        <v>32</v>
      </c>
      <c r="N3" s="3" t="s">
        <v>33</v>
      </c>
    </row>
    <row r="4" customFormat="false" ht="15" hidden="false" customHeight="false" outlineLevel="0" collapsed="false">
      <c r="A4" s="10" t="s">
        <v>34</v>
      </c>
      <c r="B4" s="11"/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</row>
    <row r="5" customFormat="false" ht="15" hidden="false" customHeight="false" outlineLevel="0" collapsed="false">
      <c r="A5" s="4" t="s">
        <v>35</v>
      </c>
      <c r="B5" s="12" t="n">
        <v>60</v>
      </c>
      <c r="C5" s="12" t="n">
        <v>120</v>
      </c>
      <c r="D5" s="12" t="n">
        <v>200</v>
      </c>
      <c r="E5" s="12" t="n">
        <v>300</v>
      </c>
      <c r="F5" s="12" t="n">
        <v>400</v>
      </c>
      <c r="G5" s="12" t="n">
        <v>500</v>
      </c>
      <c r="H5" s="12" t="n">
        <v>600</v>
      </c>
      <c r="I5" s="12" t="n">
        <v>700</v>
      </c>
      <c r="J5" s="12" t="n">
        <v>800</v>
      </c>
      <c r="K5" s="12" t="n">
        <v>900</v>
      </c>
      <c r="L5" s="12" t="n">
        <v>1000</v>
      </c>
      <c r="M5" s="12" t="n">
        <v>1100</v>
      </c>
      <c r="N5" s="13" t="n">
        <f aca="false">SUM(B5:M5)</f>
        <v>6680</v>
      </c>
    </row>
    <row r="6" customFormat="false" ht="15" hidden="false" customHeight="false" outlineLevel="0" collapsed="false">
      <c r="A6" s="4" t="s">
        <v>36</v>
      </c>
      <c r="B6" s="13" t="n">
        <f aca="false">B5</f>
        <v>60</v>
      </c>
      <c r="C6" s="13" t="n">
        <f aca="false">B6+C5</f>
        <v>180</v>
      </c>
      <c r="D6" s="13" t="n">
        <f aca="false">C6+D5</f>
        <v>380</v>
      </c>
      <c r="E6" s="13" t="n">
        <f aca="false">D6+E5</f>
        <v>680</v>
      </c>
      <c r="F6" s="13" t="n">
        <f aca="false">E6+F5</f>
        <v>1080</v>
      </c>
      <c r="G6" s="13" t="n">
        <f aca="false">F6+G5</f>
        <v>1580</v>
      </c>
      <c r="H6" s="13" t="n">
        <f aca="false">G6+H5</f>
        <v>2180</v>
      </c>
      <c r="I6" s="13" t="n">
        <f aca="false">H6+I5</f>
        <v>2880</v>
      </c>
      <c r="J6" s="13" t="n">
        <f aca="false">I6+J5</f>
        <v>3680</v>
      </c>
      <c r="K6" s="13" t="n">
        <f aca="false">J6+K5</f>
        <v>4580</v>
      </c>
      <c r="L6" s="13" t="n">
        <f aca="false">K6+L5</f>
        <v>5580</v>
      </c>
      <c r="M6" s="13" t="n">
        <f aca="false">L6+M5</f>
        <v>6680</v>
      </c>
      <c r="N6" s="13" t="n">
        <f aca="false">M6</f>
        <v>6680</v>
      </c>
    </row>
    <row r="7" customFormat="false" ht="15" hidden="false" customHeight="false" outlineLevel="0" collapsed="false">
      <c r="A7" s="4" t="s">
        <v>37</v>
      </c>
      <c r="B7" s="13" t="n">
        <v>0</v>
      </c>
      <c r="C7" s="13" t="n">
        <f aca="false">ROUND(Assumptions!$B$5*(C5+B5),0)</f>
        <v>5</v>
      </c>
      <c r="D7" s="13" t="n">
        <f aca="false">ROUND(Assumptions!$B$5*D5,0)</f>
        <v>5</v>
      </c>
      <c r="E7" s="13" t="n">
        <f aca="false">ROUND(Assumptions!$B$5*E5,0)</f>
        <v>8</v>
      </c>
      <c r="F7" s="13" t="n">
        <f aca="false">ROUND(Assumptions!$B$5*F5,0)</f>
        <v>10</v>
      </c>
      <c r="G7" s="13" t="n">
        <f aca="false">ROUND(Assumptions!$B$5*G5,0)</f>
        <v>13</v>
      </c>
      <c r="H7" s="13" t="n">
        <f aca="false">ROUND(Assumptions!$B$5*H5,0)</f>
        <v>15</v>
      </c>
      <c r="I7" s="13" t="n">
        <f aca="false">ROUND(Assumptions!$B$5*I5,0)</f>
        <v>18</v>
      </c>
      <c r="J7" s="13" t="n">
        <f aca="false">ROUND(Assumptions!$B$5*J5,0)</f>
        <v>20</v>
      </c>
      <c r="K7" s="13" t="n">
        <f aca="false">ROUND(Assumptions!$B$5*K5,0)</f>
        <v>23</v>
      </c>
      <c r="L7" s="13" t="n">
        <f aca="false">ROUND(Assumptions!$B$5*L5,0)</f>
        <v>25</v>
      </c>
      <c r="M7" s="13" t="n">
        <f aca="false">ROUND(Assumptions!$B$5*M5,0)</f>
        <v>28</v>
      </c>
      <c r="N7" s="13" t="n">
        <f aca="false">SUM(B7:M7)</f>
        <v>170</v>
      </c>
    </row>
    <row r="8" customFormat="false" ht="15" hidden="false" customHeight="false" outlineLevel="0" collapsed="false">
      <c r="A8" s="14" t="s">
        <v>38</v>
      </c>
      <c r="B8" s="13" t="n">
        <f aca="false">B7</f>
        <v>0</v>
      </c>
      <c r="C8" s="13" t="n">
        <f aca="false">ROUND(B8*(1-Assumptions!$B$6)+C7,0)</f>
        <v>5</v>
      </c>
      <c r="D8" s="13" t="n">
        <f aca="false">ROUND(C8*(1-Assumptions!$B$6)+D7,0)</f>
        <v>9</v>
      </c>
      <c r="E8" s="13" t="n">
        <f aca="false">ROUND(D8*(1-Assumptions!$B$6)+E7,0)</f>
        <v>16</v>
      </c>
      <c r="F8" s="13" t="n">
        <f aca="false">ROUND(E8*(1-Assumptions!$B$6)+F7,0)</f>
        <v>24</v>
      </c>
      <c r="G8" s="13" t="n">
        <f aca="false">ROUND(F8*(1-Assumptions!$B$6)+G7,0)</f>
        <v>33</v>
      </c>
      <c r="H8" s="13" t="n">
        <f aca="false">ROUND(G8*(1-Assumptions!$B$6)+H7,0)</f>
        <v>43</v>
      </c>
      <c r="I8" s="13" t="n">
        <f aca="false">ROUND(H8*(1-Assumptions!$B$6)+I7,0)</f>
        <v>55</v>
      </c>
      <c r="J8" s="13" t="n">
        <f aca="false">ROUND(I8*(1-Assumptions!$B$6)+J7,0)</f>
        <v>67</v>
      </c>
      <c r="K8" s="13" t="n">
        <f aca="false">ROUND(J8*(1-Assumptions!$B$6)+K7,0)</f>
        <v>80</v>
      </c>
      <c r="L8" s="13" t="n">
        <f aca="false">ROUND(K8*(1-Assumptions!$B$6)+L7,0)</f>
        <v>93</v>
      </c>
      <c r="M8" s="13" t="n">
        <f aca="false">ROUND(L8*(1-Assumptions!$B$6)+M7,0)</f>
        <v>107</v>
      </c>
      <c r="N8" s="13" t="n">
        <f aca="false">M8</f>
        <v>107</v>
      </c>
    </row>
    <row r="9" customFormat="false" ht="15" hidden="false" customHeight="false" outlineLevel="0" collapsed="false">
      <c r="A9" s="14" t="s">
        <v>39</v>
      </c>
      <c r="B9" s="15" t="n">
        <f aca="false">B8*Assumptions!$B$7</f>
        <v>0</v>
      </c>
      <c r="C9" s="15" t="n">
        <f aca="false">C8*Assumptions!$B$7</f>
        <v>60</v>
      </c>
      <c r="D9" s="15" t="n">
        <f aca="false">D8*Assumptions!$B$7</f>
        <v>108</v>
      </c>
      <c r="E9" s="15" t="n">
        <f aca="false">E8*Assumptions!$B$7</f>
        <v>192</v>
      </c>
      <c r="F9" s="15" t="n">
        <f aca="false">F8*Assumptions!$B$7</f>
        <v>288</v>
      </c>
      <c r="G9" s="15" t="n">
        <f aca="false">G8*Assumptions!$B$7</f>
        <v>396</v>
      </c>
      <c r="H9" s="15" t="n">
        <f aca="false">H8*Assumptions!$B$7</f>
        <v>516</v>
      </c>
      <c r="I9" s="15" t="n">
        <f aca="false">I8*Assumptions!$B$7</f>
        <v>660</v>
      </c>
      <c r="J9" s="15" t="n">
        <f aca="false">J8*Assumptions!$B$7</f>
        <v>804</v>
      </c>
      <c r="K9" s="15" t="n">
        <f aca="false">K8*Assumptions!$B$7</f>
        <v>960</v>
      </c>
      <c r="L9" s="15" t="n">
        <f aca="false">L8*Assumptions!$B$7</f>
        <v>1116</v>
      </c>
      <c r="M9" s="15" t="n">
        <f aca="false">M8*Assumptions!$B$7</f>
        <v>1284</v>
      </c>
      <c r="N9" s="15" t="n">
        <f aca="false">M9</f>
        <v>1284</v>
      </c>
    </row>
    <row r="10" customFormat="false" ht="15" hidden="false" customHeight="false" outlineLevel="0" collapsed="false">
      <c r="A10" s="14" t="s">
        <v>40</v>
      </c>
      <c r="B10" s="15" t="n">
        <f aca="false">B9</f>
        <v>0</v>
      </c>
      <c r="C10" s="15" t="n">
        <f aca="false">C9</f>
        <v>60</v>
      </c>
      <c r="D10" s="15" t="n">
        <f aca="false">D9</f>
        <v>108</v>
      </c>
      <c r="E10" s="15" t="n">
        <f aca="false">E9</f>
        <v>192</v>
      </c>
      <c r="F10" s="15" t="n">
        <f aca="false">F9</f>
        <v>288</v>
      </c>
      <c r="G10" s="15" t="n">
        <f aca="false">G9</f>
        <v>396</v>
      </c>
      <c r="H10" s="15" t="n">
        <f aca="false">H9</f>
        <v>516</v>
      </c>
      <c r="I10" s="15" t="n">
        <f aca="false">I9</f>
        <v>660</v>
      </c>
      <c r="J10" s="15" t="n">
        <f aca="false">J9</f>
        <v>804</v>
      </c>
      <c r="K10" s="15" t="n">
        <f aca="false">K9</f>
        <v>960</v>
      </c>
      <c r="L10" s="15" t="n">
        <f aca="false">L9</f>
        <v>1116</v>
      </c>
      <c r="M10" s="15" t="n">
        <f aca="false">M9</f>
        <v>1284</v>
      </c>
      <c r="N10" s="15" t="n">
        <f aca="false">SUM(B10:M10)</f>
        <v>6384</v>
      </c>
    </row>
    <row r="11" customFormat="false" ht="15" hidden="false" customHeight="false" outlineLevel="0" collapsed="false">
      <c r="A11" s="10" t="s">
        <v>41</v>
      </c>
      <c r="B11" s="11"/>
      <c r="C11" s="11"/>
      <c r="D11" s="11"/>
      <c r="E11" s="11"/>
      <c r="F11" s="11"/>
      <c r="G11" s="11"/>
      <c r="H11" s="11"/>
      <c r="I11" s="11"/>
      <c r="J11" s="11"/>
      <c r="K11" s="11"/>
      <c r="L11" s="11"/>
      <c r="M11" s="11"/>
      <c r="N11" s="11"/>
    </row>
    <row r="12" customFormat="false" ht="15" hidden="false" customHeight="false" outlineLevel="0" collapsed="false">
      <c r="A12" s="4" t="s">
        <v>42</v>
      </c>
      <c r="B12" s="15" t="n">
        <f aca="false">(B5*Assumptions!$B$8+B8*Assumptions!$B$9)*Assumptions!$B$10</f>
        <v>2.4</v>
      </c>
      <c r="C12" s="15" t="n">
        <f aca="false">(C5*Assumptions!$B$8+C8*Assumptions!$B$9)*Assumptions!$B$10</f>
        <v>5.6</v>
      </c>
      <c r="D12" s="15" t="n">
        <f aca="false">(D5*Assumptions!$B$8+D8*Assumptions!$B$9)*Assumptions!$B$10</f>
        <v>9.44</v>
      </c>
      <c r="E12" s="15" t="n">
        <f aca="false">(E5*Assumptions!$B$8+E8*Assumptions!$B$9)*Assumptions!$B$10</f>
        <v>14.56</v>
      </c>
      <c r="F12" s="15" t="n">
        <f aca="false">(F5*Assumptions!$B$8+F8*Assumptions!$B$9)*Assumptions!$B$10</f>
        <v>19.84</v>
      </c>
      <c r="G12" s="15" t="n">
        <f aca="false">(G5*Assumptions!$B$8+G8*Assumptions!$B$9)*Assumptions!$B$10</f>
        <v>25.28</v>
      </c>
      <c r="H12" s="15" t="n">
        <f aca="false">(H5*Assumptions!$B$8+H8*Assumptions!$B$9)*Assumptions!$B$10</f>
        <v>30.88</v>
      </c>
      <c r="I12" s="15" t="n">
        <f aca="false">(I5*Assumptions!$B$8+I8*Assumptions!$B$9)*Assumptions!$B$10</f>
        <v>36.8</v>
      </c>
      <c r="J12" s="15" t="n">
        <f aca="false">(J5*Assumptions!$B$8+J8*Assumptions!$B$9)*Assumptions!$B$10</f>
        <v>42.72</v>
      </c>
      <c r="K12" s="15" t="n">
        <f aca="false">(K5*Assumptions!$B$8+K8*Assumptions!$B$9)*Assumptions!$B$10</f>
        <v>48.8</v>
      </c>
      <c r="L12" s="15" t="n">
        <f aca="false">(L5*Assumptions!$B$8+L8*Assumptions!$B$9)*Assumptions!$B$10</f>
        <v>54.88</v>
      </c>
      <c r="M12" s="15" t="n">
        <f aca="false">(M5*Assumptions!$B$8+M8*Assumptions!$B$9)*Assumptions!$B$10</f>
        <v>61.12</v>
      </c>
      <c r="N12" s="15" t="n">
        <f aca="false">SUM(B12:M12)</f>
        <v>352.32</v>
      </c>
    </row>
    <row r="13" customFormat="false" ht="15" hidden="false" customHeight="false" outlineLevel="0" collapsed="false">
      <c r="A13" s="4" t="s">
        <v>43</v>
      </c>
      <c r="B13" s="15" t="n">
        <f aca="false">B10*Assumptions!$B$11</f>
        <v>0</v>
      </c>
      <c r="C13" s="15" t="n">
        <f aca="false">C10*Assumptions!$B$11</f>
        <v>3</v>
      </c>
      <c r="D13" s="15" t="n">
        <f aca="false">D10*Assumptions!$B$11</f>
        <v>5.4</v>
      </c>
      <c r="E13" s="15" t="n">
        <f aca="false">E10*Assumptions!$B$11</f>
        <v>9.6</v>
      </c>
      <c r="F13" s="15" t="n">
        <f aca="false">F10*Assumptions!$B$11</f>
        <v>14.4</v>
      </c>
      <c r="G13" s="15" t="n">
        <f aca="false">G10*Assumptions!$B$11</f>
        <v>19.8</v>
      </c>
      <c r="H13" s="15" t="n">
        <f aca="false">H10*Assumptions!$B$11</f>
        <v>25.8</v>
      </c>
      <c r="I13" s="15" t="n">
        <f aca="false">I10*Assumptions!$B$11</f>
        <v>33</v>
      </c>
      <c r="J13" s="15" t="n">
        <f aca="false">J10*Assumptions!$B$11</f>
        <v>40.2</v>
      </c>
      <c r="K13" s="15" t="n">
        <f aca="false">K10*Assumptions!$B$11</f>
        <v>48</v>
      </c>
      <c r="L13" s="15" t="n">
        <f aca="false">L10*Assumptions!$B$11</f>
        <v>55.8</v>
      </c>
      <c r="M13" s="15" t="n">
        <f aca="false">M10*Assumptions!$B$11</f>
        <v>64.2</v>
      </c>
      <c r="N13" s="15" t="n">
        <f aca="false">SUM(B13:M13)</f>
        <v>319.2</v>
      </c>
    </row>
    <row r="14" customFormat="false" ht="15" hidden="false" customHeight="false" outlineLevel="0" collapsed="false">
      <c r="A14" s="10" t="s">
        <v>44</v>
      </c>
      <c r="B14" s="11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</row>
    <row r="15" customFormat="false" ht="15" hidden="false" customHeight="false" outlineLevel="0" collapsed="false">
      <c r="A15" s="4" t="s">
        <v>45</v>
      </c>
      <c r="B15" s="7" t="n">
        <v>0</v>
      </c>
      <c r="C15" s="7" t="n">
        <v>0</v>
      </c>
      <c r="D15" s="7" t="n">
        <v>0</v>
      </c>
      <c r="E15" s="7" t="n">
        <v>50</v>
      </c>
      <c r="F15" s="7" t="n">
        <v>50</v>
      </c>
      <c r="G15" s="7" t="n">
        <v>50</v>
      </c>
      <c r="H15" s="7" t="n">
        <v>100</v>
      </c>
      <c r="I15" s="7" t="n">
        <v>100</v>
      </c>
      <c r="J15" s="7" t="n">
        <v>100</v>
      </c>
      <c r="K15" s="7" t="n">
        <v>100</v>
      </c>
      <c r="L15" s="7" t="n">
        <v>100</v>
      </c>
      <c r="M15" s="7" t="n">
        <v>100</v>
      </c>
      <c r="N15" s="15" t="n">
        <f aca="false">SUM(B15:M15)</f>
        <v>750</v>
      </c>
    </row>
    <row r="16" customFormat="false" ht="15" hidden="false" customHeight="false" outlineLevel="0" collapsed="false">
      <c r="A16" s="4" t="s">
        <v>46</v>
      </c>
      <c r="B16" s="7" t="n">
        <v>100</v>
      </c>
      <c r="C16" s="7" t="n">
        <v>100</v>
      </c>
      <c r="D16" s="7" t="n">
        <v>100</v>
      </c>
      <c r="E16" s="7" t="n">
        <v>100</v>
      </c>
      <c r="F16" s="7" t="n">
        <v>100</v>
      </c>
      <c r="G16" s="7" t="n">
        <v>100</v>
      </c>
      <c r="H16" s="7" t="n">
        <v>100</v>
      </c>
      <c r="I16" s="7" t="n">
        <v>100</v>
      </c>
      <c r="J16" s="7" t="n">
        <v>100</v>
      </c>
      <c r="K16" s="7" t="n">
        <v>100</v>
      </c>
      <c r="L16" s="7" t="n">
        <v>100</v>
      </c>
      <c r="M16" s="7" t="n">
        <v>100</v>
      </c>
      <c r="N16" s="15" t="n">
        <f aca="false">SUM(B16:M16)</f>
        <v>1200</v>
      </c>
    </row>
    <row r="17" customFormat="false" ht="15" hidden="false" customHeight="false" outlineLevel="0" collapsed="false">
      <c r="A17" s="4" t="s">
        <v>47</v>
      </c>
      <c r="B17" s="7" t="n">
        <v>150</v>
      </c>
      <c r="C17" s="7" t="n">
        <v>150</v>
      </c>
      <c r="D17" s="7" t="n">
        <v>150</v>
      </c>
      <c r="E17" s="7" t="n">
        <v>300</v>
      </c>
      <c r="F17" s="7" t="n">
        <v>300</v>
      </c>
      <c r="G17" s="7" t="n">
        <v>300</v>
      </c>
      <c r="H17" s="7" t="n">
        <v>300</v>
      </c>
      <c r="I17" s="7" t="n">
        <v>300</v>
      </c>
      <c r="J17" s="7" t="n">
        <v>300</v>
      </c>
      <c r="K17" s="7" t="n">
        <v>300</v>
      </c>
      <c r="L17" s="7" t="n">
        <v>300</v>
      </c>
      <c r="M17" s="7" t="n">
        <v>300</v>
      </c>
      <c r="N17" s="15" t="n">
        <f aca="false">SUM(B17:M17)</f>
        <v>3150</v>
      </c>
    </row>
    <row r="18" customFormat="false" ht="15" hidden="false" customHeight="false" outlineLevel="0" collapsed="false">
      <c r="A18" s="4" t="s">
        <v>48</v>
      </c>
      <c r="B18" s="7" t="n">
        <v>320</v>
      </c>
      <c r="C18" s="7" t="n">
        <v>320</v>
      </c>
      <c r="D18" s="7" t="n">
        <v>320</v>
      </c>
      <c r="E18" s="7" t="n">
        <v>320</v>
      </c>
      <c r="F18" s="7" t="n">
        <v>320</v>
      </c>
      <c r="G18" s="7" t="n">
        <v>320</v>
      </c>
      <c r="H18" s="7" t="n">
        <v>320</v>
      </c>
      <c r="I18" s="7" t="n">
        <v>320</v>
      </c>
      <c r="J18" s="7" t="n">
        <v>320</v>
      </c>
      <c r="K18" s="7" t="n">
        <v>320</v>
      </c>
      <c r="L18" s="7" t="n">
        <v>320</v>
      </c>
      <c r="M18" s="7" t="n">
        <v>320</v>
      </c>
      <c r="N18" s="15" t="n">
        <f aca="false">SUM(B18:M18)</f>
        <v>3840</v>
      </c>
    </row>
    <row r="19" customFormat="false" ht="15" hidden="false" customHeight="false" outlineLevel="0" collapsed="false">
      <c r="A19" s="10" t="s">
        <v>49</v>
      </c>
      <c r="B19" s="11"/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</row>
    <row r="20" customFormat="false" ht="15" hidden="false" customHeight="false" outlineLevel="0" collapsed="false">
      <c r="A20" s="4" t="s">
        <v>50</v>
      </c>
      <c r="B20" s="7" t="n">
        <v>1300</v>
      </c>
      <c r="C20" s="15" t="n">
        <v>0</v>
      </c>
      <c r="D20" s="15" t="n">
        <v>0</v>
      </c>
      <c r="E20" s="15" t="n">
        <v>0</v>
      </c>
      <c r="F20" s="15" t="n">
        <v>0</v>
      </c>
      <c r="G20" s="15" t="n">
        <v>0</v>
      </c>
      <c r="H20" s="15" t="n">
        <v>0</v>
      </c>
      <c r="I20" s="15" t="n">
        <v>0</v>
      </c>
      <c r="J20" s="15" t="n">
        <v>0</v>
      </c>
      <c r="K20" s="15" t="n">
        <v>0</v>
      </c>
      <c r="L20" s="15" t="n">
        <v>0</v>
      </c>
      <c r="M20" s="15" t="n">
        <v>0</v>
      </c>
      <c r="N20" s="15" t="n">
        <f aca="false">SUM(B20:M20)</f>
        <v>1300</v>
      </c>
    </row>
    <row r="21" customFormat="false" ht="15" hidden="false" customHeight="false" outlineLevel="0" collapsed="false">
      <c r="A21" s="4" t="s">
        <v>51</v>
      </c>
      <c r="B21" s="7" t="n">
        <v>1500</v>
      </c>
      <c r="C21" s="7" t="n">
        <v>1500</v>
      </c>
      <c r="D21" s="15" t="n">
        <v>0</v>
      </c>
      <c r="E21" s="15" t="n">
        <v>0</v>
      </c>
      <c r="F21" s="15" t="n">
        <v>0</v>
      </c>
      <c r="G21" s="15" t="n">
        <v>0</v>
      </c>
      <c r="H21" s="15" t="n">
        <v>0</v>
      </c>
      <c r="I21" s="15" t="n">
        <v>0</v>
      </c>
      <c r="J21" s="15" t="n">
        <v>0</v>
      </c>
      <c r="K21" s="15" t="n">
        <v>0</v>
      </c>
      <c r="L21" s="15" t="n">
        <v>0</v>
      </c>
      <c r="M21" s="15" t="n">
        <v>0</v>
      </c>
      <c r="N21" s="15" t="n">
        <f aca="false">SUM(B21:M21)</f>
        <v>3000</v>
      </c>
    </row>
    <row r="22" customFormat="false" ht="15" hidden="false" customHeight="false" outlineLevel="0" collapsed="false">
      <c r="A22" s="4" t="s">
        <v>52</v>
      </c>
      <c r="B22" s="7" t="n">
        <v>400</v>
      </c>
      <c r="C22" s="15" t="n">
        <v>0</v>
      </c>
      <c r="D22" s="15" t="n">
        <v>0</v>
      </c>
      <c r="E22" s="15" t="n">
        <v>0</v>
      </c>
      <c r="F22" s="15" t="n">
        <v>0</v>
      </c>
      <c r="G22" s="15" t="n">
        <v>0</v>
      </c>
      <c r="H22" s="15" t="n">
        <v>0</v>
      </c>
      <c r="I22" s="15" t="n">
        <v>0</v>
      </c>
      <c r="J22" s="15" t="n">
        <v>0</v>
      </c>
      <c r="K22" s="15" t="n">
        <v>0</v>
      </c>
      <c r="L22" s="15" t="n">
        <v>0</v>
      </c>
      <c r="M22" s="15" t="n">
        <v>0</v>
      </c>
      <c r="N22" s="15" t="n">
        <f aca="false">SUM(B22:M22)</f>
        <v>400</v>
      </c>
    </row>
    <row r="23" customFormat="false" ht="15" hidden="false" customHeight="false" outlineLevel="0" collapsed="false">
      <c r="A23" s="4" t="s">
        <v>53</v>
      </c>
      <c r="B23" s="7" t="n">
        <v>150</v>
      </c>
      <c r="C23" s="15" t="n">
        <v>0</v>
      </c>
      <c r="D23" s="15" t="n">
        <v>0</v>
      </c>
      <c r="E23" s="15" t="n">
        <v>0</v>
      </c>
      <c r="F23" s="15" t="n">
        <v>0</v>
      </c>
      <c r="G23" s="15" t="n">
        <v>0</v>
      </c>
      <c r="H23" s="15" t="n">
        <v>0</v>
      </c>
      <c r="I23" s="15" t="n">
        <v>0</v>
      </c>
      <c r="J23" s="15" t="n">
        <v>0</v>
      </c>
      <c r="K23" s="15" t="n">
        <v>0</v>
      </c>
      <c r="L23" s="15" t="n">
        <v>0</v>
      </c>
      <c r="M23" s="15" t="n">
        <v>0</v>
      </c>
      <c r="N23" s="15" t="n">
        <f aca="false">SUM(B23:M23)</f>
        <v>150</v>
      </c>
    </row>
    <row r="24" customFormat="false" ht="15" hidden="false" customHeight="false" outlineLevel="0" collapsed="false">
      <c r="A24" s="4" t="s">
        <v>54</v>
      </c>
      <c r="B24" s="7" t="n">
        <v>100</v>
      </c>
      <c r="C24" s="15" t="n">
        <v>0</v>
      </c>
      <c r="D24" s="15" t="n">
        <v>0</v>
      </c>
      <c r="E24" s="15" t="n">
        <v>0</v>
      </c>
      <c r="F24" s="15" t="n">
        <v>0</v>
      </c>
      <c r="G24" s="15" t="n">
        <v>0</v>
      </c>
      <c r="H24" s="15" t="n">
        <v>0</v>
      </c>
      <c r="I24" s="15" t="n">
        <v>0</v>
      </c>
      <c r="J24" s="15" t="n">
        <v>0</v>
      </c>
      <c r="K24" s="15" t="n">
        <v>0</v>
      </c>
      <c r="L24" s="15" t="n">
        <v>0</v>
      </c>
      <c r="M24" s="15" t="n">
        <v>0</v>
      </c>
      <c r="N24" s="15" t="n">
        <f aca="false">SUM(B24:M24)</f>
        <v>100</v>
      </c>
    </row>
    <row r="25" customFormat="false" ht="15" hidden="false" customHeight="false" outlineLevel="0" collapsed="false">
      <c r="A25" s="10" t="s">
        <v>55</v>
      </c>
      <c r="B25" s="11"/>
      <c r="C25" s="11"/>
      <c r="D25" s="11"/>
      <c r="E25" s="11"/>
      <c r="F25" s="11"/>
      <c r="G25" s="11"/>
      <c r="H25" s="11"/>
      <c r="I25" s="11"/>
      <c r="J25" s="11"/>
      <c r="K25" s="11"/>
      <c r="L25" s="11"/>
      <c r="M25" s="11"/>
      <c r="N25" s="11"/>
    </row>
    <row r="26" customFormat="false" ht="15" hidden="false" customHeight="false" outlineLevel="0" collapsed="false">
      <c r="A26" s="16" t="s">
        <v>56</v>
      </c>
      <c r="B26" s="17" t="n">
        <f aca="false">B12+B13+B15+B16+B17+B18+B20+B21+B22+B23+B24</f>
        <v>4022.4</v>
      </c>
      <c r="C26" s="17" t="n">
        <f aca="false">C12+C13+C15+C16+C17+C18+C20+C21+C22+C23+C24</f>
        <v>2078.6</v>
      </c>
      <c r="D26" s="17" t="n">
        <f aca="false">D12+D13+D15+D16+D17+D18+D20+D21+D22+D23+D24</f>
        <v>584.84</v>
      </c>
      <c r="E26" s="17" t="n">
        <f aca="false">E12+E13+E15+E16+E17+E18+E20+E21+E22+E23+E24</f>
        <v>794.16</v>
      </c>
      <c r="F26" s="17" t="n">
        <f aca="false">F12+F13+F15+F16+F17+F18+F20+F21+F22+F23+F24</f>
        <v>804.24</v>
      </c>
      <c r="G26" s="17" t="n">
        <f aca="false">G12+G13+G15+G16+G17+G18+G20+G21+G22+G23+G24</f>
        <v>815.08</v>
      </c>
      <c r="H26" s="17" t="n">
        <f aca="false">H12+H13+H15+H16+H17+H18+H20+H21+H22+H23+H24</f>
        <v>876.68</v>
      </c>
      <c r="I26" s="17" t="n">
        <f aca="false">I12+I13+I15+I16+I17+I18+I20+I21+I22+I23+I24</f>
        <v>889.8</v>
      </c>
      <c r="J26" s="17" t="n">
        <f aca="false">J12+J13+J15+J16+J17+J18+J20+J21+J22+J23+J24</f>
        <v>902.92</v>
      </c>
      <c r="K26" s="17" t="n">
        <f aca="false">K12+K13+K15+K16+K17+K18+K20+K21+K22+K23+K24</f>
        <v>916.8</v>
      </c>
      <c r="L26" s="17" t="n">
        <f aca="false">L12+L13+L15+L16+L17+L18+L20+L21+L22+L23+L24</f>
        <v>930.68</v>
      </c>
      <c r="M26" s="17" t="n">
        <f aca="false">M12+M13+M15+M16+M17+M18+M20+M21+M22+M23+M24</f>
        <v>945.32</v>
      </c>
      <c r="N26" s="17" t="n">
        <f aca="false">SUM(B26:M26)</f>
        <v>14561.52</v>
      </c>
    </row>
    <row r="27" customFormat="false" ht="15" hidden="false" customHeight="false" outlineLevel="0" collapsed="false">
      <c r="A27" s="16" t="s">
        <v>57</v>
      </c>
      <c r="B27" s="18" t="n">
        <f aca="false">B10-B26</f>
        <v>-4022.4</v>
      </c>
      <c r="C27" s="18" t="n">
        <f aca="false">C10-C26</f>
        <v>-2018.6</v>
      </c>
      <c r="D27" s="18" t="n">
        <f aca="false">D10-D26</f>
        <v>-476.84</v>
      </c>
      <c r="E27" s="18" t="n">
        <f aca="false">E10-E26</f>
        <v>-602.16</v>
      </c>
      <c r="F27" s="18" t="n">
        <f aca="false">F10-F26</f>
        <v>-516.24</v>
      </c>
      <c r="G27" s="18" t="n">
        <f aca="false">G10-G26</f>
        <v>-419.08</v>
      </c>
      <c r="H27" s="18" t="n">
        <f aca="false">H10-H26</f>
        <v>-360.68</v>
      </c>
      <c r="I27" s="18" t="n">
        <f aca="false">I10-I26</f>
        <v>-229.8</v>
      </c>
      <c r="J27" s="18" t="n">
        <f aca="false">J10-J26</f>
        <v>-98.9200000000001</v>
      </c>
      <c r="K27" s="18" t="n">
        <f aca="false">K10-K26</f>
        <v>43.2</v>
      </c>
      <c r="L27" s="18" t="n">
        <f aca="false">L10-L26</f>
        <v>185.32</v>
      </c>
      <c r="M27" s="18" t="n">
        <f aca="false">M10-M26</f>
        <v>338.68</v>
      </c>
      <c r="N27" s="18" t="n">
        <f aca="false">N10-N26</f>
        <v>-8177.52</v>
      </c>
    </row>
    <row r="28" customFormat="false" ht="15" hidden="false" customHeight="false" outlineLevel="0" collapsed="false">
      <c r="A28" s="4" t="s">
        <v>58</v>
      </c>
      <c r="B28" s="19" t="n">
        <f aca="false">B10-(B12+B13+B15+B16+B17+B18)</f>
        <v>-572.4</v>
      </c>
      <c r="C28" s="19" t="n">
        <f aca="false">C10-(C12+C13+C15+C16+C17+C18)</f>
        <v>-518.6</v>
      </c>
      <c r="D28" s="19" t="n">
        <f aca="false">D10-(D12+D13+D15+D16+D17+D18)</f>
        <v>-476.84</v>
      </c>
      <c r="E28" s="19" t="n">
        <f aca="false">E10-(E12+E13+E15+E16+E17+E18)</f>
        <v>-602.16</v>
      </c>
      <c r="F28" s="19" t="n">
        <f aca="false">F10-(F12+F13+F15+F16+F17+F18)</f>
        <v>-516.24</v>
      </c>
      <c r="G28" s="19" t="n">
        <f aca="false">G10-(G12+G13+G15+G16+G17+G18)</f>
        <v>-419.08</v>
      </c>
      <c r="H28" s="19" t="n">
        <f aca="false">H10-(H12+H13+H15+H16+H17+H18)</f>
        <v>-360.68</v>
      </c>
      <c r="I28" s="19" t="n">
        <f aca="false">I10-(I12+I13+I15+I16+I17+I18)</f>
        <v>-229.8</v>
      </c>
      <c r="J28" s="19" t="n">
        <f aca="false">J10-(J12+J13+J15+J16+J17+J18)</f>
        <v>-98.9200000000001</v>
      </c>
      <c r="K28" s="19" t="n">
        <f aca="false">K10-(K12+K13+K15+K16+K17+K18)</f>
        <v>43.2</v>
      </c>
      <c r="L28" s="19" t="n">
        <f aca="false">L10-(L12+L13+L15+L16+L17+L18)</f>
        <v>185.32</v>
      </c>
      <c r="M28" s="19" t="n">
        <f aca="false">M10-(M12+M13+M15+M16+M17+M18)</f>
        <v>338.68</v>
      </c>
      <c r="N28" s="20"/>
    </row>
    <row r="29" customFormat="false" ht="15" hidden="false" customHeight="false" outlineLevel="0" collapsed="false">
      <c r="A29" s="16" t="s">
        <v>59</v>
      </c>
      <c r="B29" s="18" t="n">
        <f aca="false">B27</f>
        <v>-4022.4</v>
      </c>
      <c r="C29" s="18" t="n">
        <f aca="false">B29+C27</f>
        <v>-6041</v>
      </c>
      <c r="D29" s="18" t="n">
        <f aca="false">C29+D27</f>
        <v>-6517.84</v>
      </c>
      <c r="E29" s="18" t="n">
        <f aca="false">D29+E27</f>
        <v>-7120</v>
      </c>
      <c r="F29" s="18" t="n">
        <f aca="false">E29+F27</f>
        <v>-7636.24</v>
      </c>
      <c r="G29" s="18" t="n">
        <f aca="false">F29+G27</f>
        <v>-8055.32</v>
      </c>
      <c r="H29" s="18" t="n">
        <f aca="false">G29+H27</f>
        <v>-8416</v>
      </c>
      <c r="I29" s="18" t="n">
        <f aca="false">H29+I27</f>
        <v>-8645.8</v>
      </c>
      <c r="J29" s="18" t="n">
        <f aca="false">I29+J27</f>
        <v>-8744.72</v>
      </c>
      <c r="K29" s="18" t="n">
        <f aca="false">J29+K27</f>
        <v>-8701.52</v>
      </c>
      <c r="L29" s="18" t="n">
        <f aca="false">K29+L27</f>
        <v>-8516.2</v>
      </c>
      <c r="M29" s="18" t="n">
        <f aca="false">L29+M27</f>
        <v>-8177.52</v>
      </c>
      <c r="N29" s="18" t="n">
        <f aca="false">M29</f>
        <v>-8177.52</v>
      </c>
    </row>
  </sheetData>
  <mergeCells count="1">
    <mergeCell ref="A1:N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2"/>
    <col collapsed="false" customWidth="true" hidden="false" outlineLevel="0" max="2" min="2" style="0" width="16"/>
    <col collapsed="false" customWidth="true" hidden="false" outlineLevel="0" max="3" min="3" style="0" width="44"/>
  </cols>
  <sheetData>
    <row r="1" customFormat="false" ht="16.15" hidden="false" customHeight="false" outlineLevel="0" collapsed="false">
      <c r="A1" s="1" t="s">
        <v>60</v>
      </c>
      <c r="B1" s="1"/>
      <c r="C1" s="1"/>
    </row>
    <row r="3" customFormat="false" ht="15" hidden="false" customHeight="false" outlineLevel="0" collapsed="false">
      <c r="A3" s="3" t="s">
        <v>61</v>
      </c>
      <c r="B3" s="3" t="s">
        <v>62</v>
      </c>
      <c r="C3" s="3" t="s">
        <v>63</v>
      </c>
    </row>
    <row r="4" customFormat="false" ht="15" hidden="false" customHeight="false" outlineLevel="0" collapsed="false">
      <c r="A4" s="4" t="s">
        <v>64</v>
      </c>
      <c r="B4" s="21" t="n">
        <f aca="false">'Year 1 Monthly Model'!N10</f>
        <v>6384</v>
      </c>
      <c r="C4" s="6" t="s">
        <v>65</v>
      </c>
    </row>
    <row r="5" customFormat="false" ht="15" hidden="false" customHeight="false" outlineLevel="0" collapsed="false">
      <c r="A5" s="4" t="s">
        <v>56</v>
      </c>
      <c r="B5" s="21" t="n">
        <f aca="false">'Year 1 Monthly Model'!N26</f>
        <v>14561.52</v>
      </c>
      <c r="C5" s="6" t="s">
        <v>66</v>
      </c>
    </row>
    <row r="6" customFormat="false" ht="15" hidden="false" customHeight="false" outlineLevel="0" collapsed="false">
      <c r="A6" s="4" t="s">
        <v>67</v>
      </c>
      <c r="B6" s="22" t="n">
        <f aca="false">'Year 1 Monthly Model'!N27</f>
        <v>-8177.52</v>
      </c>
      <c r="C6" s="6" t="s">
        <v>68</v>
      </c>
    </row>
    <row r="7" customFormat="false" ht="15" hidden="false" customHeight="false" outlineLevel="0" collapsed="false">
      <c r="A7" s="4" t="s">
        <v>69</v>
      </c>
      <c r="B7" s="23" t="n">
        <f aca="false">'Year 1 Monthly Model'!M8</f>
        <v>107</v>
      </c>
      <c r="C7" s="6" t="s">
        <v>70</v>
      </c>
    </row>
    <row r="8" customFormat="false" ht="15" hidden="false" customHeight="false" outlineLevel="0" collapsed="false">
      <c r="A8" s="4" t="s">
        <v>71</v>
      </c>
      <c r="B8" s="21" t="n">
        <f aca="false">'Year 1 Monthly Model'!M9</f>
        <v>1284</v>
      </c>
      <c r="C8" s="6" t="s">
        <v>72</v>
      </c>
    </row>
    <row r="9" customFormat="false" ht="15" hidden="false" customHeight="false" outlineLevel="0" collapsed="false">
      <c r="A9" s="4" t="s">
        <v>73</v>
      </c>
      <c r="B9" s="22" t="n">
        <f aca="false">'Year 1 Monthly Model'!M29</f>
        <v>-8177.52</v>
      </c>
      <c r="C9" s="6" t="s">
        <v>74</v>
      </c>
    </row>
    <row r="10" customFormat="false" ht="15" hidden="false" customHeight="false" outlineLevel="0" collapsed="false">
      <c r="A10" s="4" t="s">
        <v>75</v>
      </c>
      <c r="B10" s="23" t="n">
        <f aca="false">'Year 1 Monthly Model'!M6</f>
        <v>6680</v>
      </c>
      <c r="C10" s="6" t="s">
        <v>76</v>
      </c>
    </row>
    <row r="12" customFormat="false" ht="15" hidden="false" customHeight="false" outlineLevel="0" collapsed="false">
      <c r="A12" s="24" t="s">
        <v>77</v>
      </c>
    </row>
    <row r="13" customFormat="false" ht="15" hidden="false" customHeight="false" outlineLevel="0" collapsed="false">
      <c r="A13" s="2" t="s">
        <v>78</v>
      </c>
      <c r="B13" s="2"/>
      <c r="C13" s="2"/>
    </row>
    <row r="14" customFormat="false" ht="15" hidden="false" customHeight="false" outlineLevel="0" collapsed="false">
      <c r="A14" s="2" t="s">
        <v>79</v>
      </c>
      <c r="B14" s="2"/>
      <c r="C14" s="2"/>
    </row>
    <row r="15" customFormat="false" ht="15" hidden="false" customHeight="false" outlineLevel="0" collapsed="false">
      <c r="A15" s="2" t="s">
        <v>80</v>
      </c>
      <c r="B15" s="2"/>
      <c r="C15" s="2"/>
    </row>
    <row r="16" customFormat="false" ht="15" hidden="false" customHeight="false" outlineLevel="0" collapsed="false">
      <c r="A16" s="2" t="s">
        <v>81</v>
      </c>
      <c r="B16" s="2"/>
      <c r="C16" s="2"/>
    </row>
    <row r="17" customFormat="false" ht="15" hidden="false" customHeight="false" outlineLevel="0" collapsed="false">
      <c r="A17" s="2" t="s">
        <v>82</v>
      </c>
      <c r="B17" s="2"/>
      <c r="C17" s="2"/>
    </row>
    <row r="18" customFormat="false" ht="15" hidden="false" customHeight="false" outlineLevel="0" collapsed="false">
      <c r="A18" s="2" t="s">
        <v>83</v>
      </c>
      <c r="B18" s="2"/>
      <c r="C18" s="2"/>
    </row>
  </sheetData>
  <mergeCells count="7">
    <mergeCell ref="A1:C1"/>
    <mergeCell ref="A13:C13"/>
    <mergeCell ref="A14:C14"/>
    <mergeCell ref="A15:C15"/>
    <mergeCell ref="A16:C16"/>
    <mergeCell ref="A17:C17"/>
    <mergeCell ref="A18:C1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2026-06-26T09:15:05Z</dcterms:created>
  <dc:creator>openpyxl</dc:creator>
  <dc:description/>
  <dc:language>en-US</dc:language>
  <cp:lastModifiedBy/>
  <dcterms:modified xsi:type="dcterms:W3CDTF">2026-06-26T09:15:05Z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